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ras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<sst xmlns="http://schemas.openxmlformats.org/spreadsheetml/2006/main" count="35" uniqueCount="23">
  <si>
    <t xml:space="preserve">Girasol — Campaña 26-27 (USD)</t>
  </si>
  <si>
    <t xml:space="preserve">Campo</t>
  </si>
  <si>
    <t xml:space="preserve">Lote</t>
  </si>
  <si>
    <t xml:space="preserve">HA</t>
  </si>
  <si>
    <t xml:space="preserve">Semilla</t>
  </si>
  <si>
    <t xml:space="preserve">Fertilizante</t>
  </si>
  <si>
    <t xml:space="preserve">Servicio Siembra</t>
  </si>
  <si>
    <t xml:space="preserve">Fitosanitario</t>
  </si>
  <si>
    <t xml:space="preserve">Servicio Pulverizada</t>
  </si>
  <si>
    <t xml:space="preserve">Total</t>
  </si>
  <si>
    <t xml:space="preserve">Don Francisco</t>
  </si>
  <si>
    <t xml:space="preserve">15 C</t>
  </si>
  <si>
    <t xml:space="preserve">15 G</t>
  </si>
  <si>
    <t xml:space="preserve">8 Tapera</t>
  </si>
  <si>
    <t xml:space="preserve">La Media Luna</t>
  </si>
  <si>
    <t xml:space="preserve">Esquina</t>
  </si>
  <si>
    <t xml:space="preserve">Grande</t>
  </si>
  <si>
    <t xml:space="preserve">TOTAL</t>
  </si>
  <si>
    <t xml:space="preserve">USD por hectárea sembrada</t>
  </si>
  <si>
    <t xml:space="preserve">Fuente: datos cargados en Trazagro (seguimiento agronómico), campaña 26-27, cultivo Girasol. Montos en USD totales por lote.</t>
  </si>
  <si>
    <t xml:space="preserve">HA = hectáreas sembradas según la siembra cargada (suma de híbridos). Lotes completos: 15 C 65 ha, 15 G 115 ha (50 ha en el ciclo), 8 Tapera 9 ha, Esquina 38 ha, Grande 93 ha.</t>
  </si>
  <si>
    <t xml:space="preserve">Semilla, Fertilizante y Servicio Siembra corresponden solo a las ha sembradas. Fitosanitario y Servicio Pulverizada incluyen aplicaciones de barbecho/pre-siembra/pre-emergente sobre la superficie aplicada (en 15 C y 15 G, mayor a lo sembrado hasta ahora).</t>
  </si>
  <si>
    <t xml:space="preserve">Fertilizante: SPT y urea cargados en la siembra. Datos cargados hasta el 26/10/2026.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</si>
</sst>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DC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9" min="3" style="0" width="15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4" t="s">
        <v>10</v>
      </c>
      <c r="B4" s="4" t="s">
        <v>11</v>
      </c>
      <c r="C4" s="5" t="n">
        <v>25</v>
      </c>
      <c r="D4" s="5" t="n">
        <v>2868.05</v>
      </c>
      <c r="E4" s="5" t="n">
        <v>1681.25</v>
      </c>
      <c r="F4" s="5" t="n">
        <v>1500</v>
      </c>
      <c r="G4" s="5" t="n">
        <v>2515.55</v>
      </c>
      <c r="H4" s="5" t="n">
        <v>682.5</v>
      </c>
      <c r="I4" s="6" t="n">
        <f aca="false">SUM(D4:H4)</f>
        <v>9247.35</v>
      </c>
    </row>
    <row r="5" customFormat="false" ht="15" hidden="false" customHeight="false" outlineLevel="0" collapsed="false">
      <c r="A5" s="4" t="s">
        <v>10</v>
      </c>
      <c r="B5" s="4" t="s">
        <v>12</v>
      </c>
      <c r="C5" s="5" t="n">
        <v>30</v>
      </c>
      <c r="D5" s="5" t="n">
        <v>3441.66</v>
      </c>
      <c r="E5" s="5" t="n">
        <v>2017.5</v>
      </c>
      <c r="F5" s="5" t="n">
        <v>1800</v>
      </c>
      <c r="G5" s="5" t="n">
        <v>5060.02</v>
      </c>
      <c r="H5" s="5" t="n">
        <v>1181</v>
      </c>
      <c r="I5" s="6" t="n">
        <f aca="false">SUM(D5:H5)</f>
        <v>13500.18</v>
      </c>
    </row>
    <row r="6" customFormat="false" ht="15" hidden="false" customHeight="false" outlineLevel="0" collapsed="false">
      <c r="A6" s="4" t="s">
        <v>10</v>
      </c>
      <c r="B6" s="4" t="s">
        <v>13</v>
      </c>
      <c r="C6" s="5" t="n">
        <v>9</v>
      </c>
      <c r="D6" s="5" t="n">
        <v>1032.5</v>
      </c>
      <c r="E6" s="5" t="n">
        <v>605.25</v>
      </c>
      <c r="F6" s="5" t="n">
        <v>540</v>
      </c>
      <c r="G6" s="5" t="n">
        <v>167.74</v>
      </c>
      <c r="H6" s="5" t="n">
        <v>58.5</v>
      </c>
      <c r="I6" s="6" t="n">
        <f aca="false">SUM(D6:H6)</f>
        <v>2403.99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38</v>
      </c>
      <c r="D7" s="5" t="n">
        <v>3569.33</v>
      </c>
      <c r="E7" s="5" t="n">
        <v>2555.5</v>
      </c>
      <c r="F7" s="5" t="n">
        <v>2280</v>
      </c>
      <c r="G7" s="5" t="n">
        <v>2006.21</v>
      </c>
      <c r="H7" s="5" t="n">
        <v>741</v>
      </c>
      <c r="I7" s="6" t="n">
        <f aca="false">SUM(D7:H7)</f>
        <v>11152.04</v>
      </c>
    </row>
    <row r="8" customFormat="false" ht="15" hidden="false" customHeight="false" outlineLevel="0" collapsed="false">
      <c r="A8" s="4" t="s">
        <v>14</v>
      </c>
      <c r="B8" s="4" t="s">
        <v>16</v>
      </c>
      <c r="C8" s="5" t="n">
        <v>93</v>
      </c>
      <c r="D8" s="5" t="n">
        <v>7873.99</v>
      </c>
      <c r="E8" s="5" t="n">
        <v>6114.75</v>
      </c>
      <c r="F8" s="5" t="n">
        <v>5580</v>
      </c>
      <c r="G8" s="5" t="n">
        <v>5341.76</v>
      </c>
      <c r="H8" s="5" t="n">
        <v>1813.5</v>
      </c>
      <c r="I8" s="6" t="n">
        <f aca="false">SUM(D8:H8)</f>
        <v>26724</v>
      </c>
    </row>
    <row r="9" customFormat="false" ht="15" hidden="false" customHeight="false" outlineLevel="0" collapsed="false">
      <c r="A9" s="7" t="s">
        <v>17</v>
      </c>
      <c r="B9" s="7"/>
      <c r="C9" s="8" t="n">
        <f aca="false">SUM(C4:C8)</f>
        <v>195</v>
      </c>
      <c r="D9" s="8" t="n">
        <f aca="false">SUM(D4:D8)</f>
        <v>18785.53</v>
      </c>
      <c r="E9" s="8" t="n">
        <f aca="false">SUM(E4:E8)</f>
        <v>12974.25</v>
      </c>
      <c r="F9" s="8" t="n">
        <f aca="false">SUM(F4:F8)</f>
        <v>11700</v>
      </c>
      <c r="G9" s="8" t="n">
        <f aca="false">SUM(G4:G8)</f>
        <v>15091.28</v>
      </c>
      <c r="H9" s="8" t="n">
        <f aca="false">SUM(H4:H8)</f>
        <v>4476.5</v>
      </c>
      <c r="I9" s="8" t="n">
        <f aca="false">SUM(I4:I8)</f>
        <v>63027.56</v>
      </c>
    </row>
    <row r="10" customFormat="false" ht="15" hidden="false" customHeight="false" outlineLevel="0" collapsed="false"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10" t="s">
        <v>18</v>
      </c>
      <c r="C11" s="9"/>
      <c r="D11" s="9"/>
      <c r="E11" s="9"/>
      <c r="F11" s="9"/>
      <c r="G11" s="9"/>
      <c r="H11" s="9"/>
      <c r="I11" s="9"/>
    </row>
    <row r="12" customFormat="false" ht="30" hidden="false" customHeight="true" outlineLevel="0" collapsed="false">
      <c r="A12" s="2" t="s">
        <v>1</v>
      </c>
      <c r="B12" s="2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customFormat="false" ht="15" hidden="false" customHeight="false" outlineLevel="0" collapsed="false">
      <c r="A13" s="4" t="str">
        <f aca="false">A4</f>
        <v>Don Francisco</v>
      </c>
      <c r="B13" s="4" t="str">
        <f aca="false">IF(B4="","",B4)</f>
        <v>15 C</v>
      </c>
      <c r="C13" s="5" t="n">
        <f aca="false">C4</f>
        <v>25</v>
      </c>
      <c r="D13" s="11" t="n">
        <f aca="false">IFERROR(D4/$C4,0)</f>
        <v>114.722</v>
      </c>
      <c r="E13" s="11" t="n">
        <f aca="false">IFERROR(E4/$C4,0)</f>
        <v>67.25</v>
      </c>
      <c r="F13" s="11" t="n">
        <f aca="false">IFERROR(F4/$C4,0)</f>
        <v>60</v>
      </c>
      <c r="G13" s="11" t="n">
        <f aca="false">IFERROR(G4/$C4,0)</f>
        <v>100.622</v>
      </c>
      <c r="H13" s="11" t="n">
        <f aca="false">IFERROR(H4/$C4,0)</f>
        <v>27.3</v>
      </c>
      <c r="I13" s="11" t="n">
        <f aca="false">IFERROR(I4/$C4,0)</f>
        <v>369.894</v>
      </c>
    </row>
    <row r="14" customFormat="false" ht="15" hidden="false" customHeight="false" outlineLevel="0" collapsed="false">
      <c r="A14" s="4" t="str">
        <f aca="false">A5</f>
        <v>Don Francisco</v>
      </c>
      <c r="B14" s="4" t="str">
        <f aca="false">IF(B5="","",B5)</f>
        <v>15 G</v>
      </c>
      <c r="C14" s="5" t="n">
        <f aca="false">C5</f>
        <v>30</v>
      </c>
      <c r="D14" s="11" t="n">
        <f aca="false">IFERROR(D5/$C5,0)</f>
        <v>114.722</v>
      </c>
      <c r="E14" s="11" t="n">
        <f aca="false">IFERROR(E5/$C5,0)</f>
        <v>67.25</v>
      </c>
      <c r="F14" s="11" t="n">
        <f aca="false">IFERROR(F5/$C5,0)</f>
        <v>60</v>
      </c>
      <c r="G14" s="11" t="n">
        <f aca="false">IFERROR(G5/$C5,0)</f>
        <v>168.667333333333</v>
      </c>
      <c r="H14" s="11" t="n">
        <f aca="false">IFERROR(H5/$C5,0)</f>
        <v>39.3666666666667</v>
      </c>
      <c r="I14" s="11" t="n">
        <f aca="false">IFERROR(I5/$C5,0)</f>
        <v>450.006</v>
      </c>
    </row>
    <row r="15" customFormat="false" ht="15" hidden="false" customHeight="false" outlineLevel="0" collapsed="false">
      <c r="A15" s="4" t="str">
        <f aca="false">A6</f>
        <v>Don Francisco</v>
      </c>
      <c r="B15" s="4" t="str">
        <f aca="false">IF(B6="","",B6)</f>
        <v>8 Tapera</v>
      </c>
      <c r="C15" s="5" t="n">
        <f aca="false">C6</f>
        <v>9</v>
      </c>
      <c r="D15" s="11" t="n">
        <f aca="false">IFERROR(D6/$C6,0)</f>
        <v>114.722222222222</v>
      </c>
      <c r="E15" s="11" t="n">
        <f aca="false">IFERROR(E6/$C6,0)</f>
        <v>67.25</v>
      </c>
      <c r="F15" s="11" t="n">
        <f aca="false">IFERROR(F6/$C6,0)</f>
        <v>60</v>
      </c>
      <c r="G15" s="11" t="n">
        <f aca="false">IFERROR(G6/$C6,0)</f>
        <v>18.6377777777778</v>
      </c>
      <c r="H15" s="11" t="n">
        <f aca="false">IFERROR(H6/$C6,0)</f>
        <v>6.5</v>
      </c>
      <c r="I15" s="11" t="n">
        <f aca="false">IFERROR(I6/$C6,0)</f>
        <v>267.11</v>
      </c>
    </row>
    <row r="16" customFormat="false" ht="15" hidden="false" customHeight="false" outlineLevel="0" collapsed="false">
      <c r="A16" s="4" t="str">
        <f aca="false">A7</f>
        <v>La Media Luna</v>
      </c>
      <c r="B16" s="4" t="str">
        <f aca="false">IF(B7="","",B7)</f>
        <v>Esquina</v>
      </c>
      <c r="C16" s="5" t="n">
        <f aca="false">C7</f>
        <v>38</v>
      </c>
      <c r="D16" s="11" t="n">
        <f aca="false">IFERROR(D7/$C7,0)</f>
        <v>93.9297368421053</v>
      </c>
      <c r="E16" s="11" t="n">
        <f aca="false">IFERROR(E7/$C7,0)</f>
        <v>67.25</v>
      </c>
      <c r="F16" s="11" t="n">
        <f aca="false">IFERROR(F7/$C7,0)</f>
        <v>60</v>
      </c>
      <c r="G16" s="11" t="n">
        <f aca="false">IFERROR(G7/$C7,0)</f>
        <v>52.795</v>
      </c>
      <c r="H16" s="11" t="n">
        <f aca="false">IFERROR(H7/$C7,0)</f>
        <v>19.5</v>
      </c>
      <c r="I16" s="11" t="n">
        <f aca="false">IFERROR(I7/$C7,0)</f>
        <v>293.474736842105</v>
      </c>
    </row>
    <row r="17" customFormat="false" ht="15" hidden="false" customHeight="false" outlineLevel="0" collapsed="false">
      <c r="A17" s="4" t="str">
        <f aca="false">A8</f>
        <v>La Media Luna</v>
      </c>
      <c r="B17" s="4" t="str">
        <f aca="false">IF(B8="","",B8)</f>
        <v>Grande</v>
      </c>
      <c r="C17" s="5" t="n">
        <f aca="false">C8</f>
        <v>93</v>
      </c>
      <c r="D17" s="11" t="n">
        <f aca="false">IFERROR(D8/$C8,0)</f>
        <v>84.6665591397849</v>
      </c>
      <c r="E17" s="11" t="n">
        <f aca="false">IFERROR(E8/$C8,0)</f>
        <v>65.75</v>
      </c>
      <c r="F17" s="11" t="n">
        <f aca="false">IFERROR(F8/$C8,0)</f>
        <v>60</v>
      </c>
      <c r="G17" s="11" t="n">
        <f aca="false">IFERROR(G8/$C8,0)</f>
        <v>57.4382795698925</v>
      </c>
      <c r="H17" s="11" t="n">
        <f aca="false">IFERROR(H8/$C8,0)</f>
        <v>19.5</v>
      </c>
      <c r="I17" s="11" t="n">
        <f aca="false">IFERROR(I8/$C8,0)</f>
        <v>287.354838709677</v>
      </c>
    </row>
    <row r="18" customFormat="false" ht="15" hidden="false" customHeight="false" outlineLevel="0" collapsed="false">
      <c r="A18" s="7" t="str">
        <f aca="false">A9</f>
        <v>TOTAL</v>
      </c>
      <c r="B18" s="7" t="str">
        <f aca="false">IF(B9="","",B9)</f>
        <v/>
      </c>
      <c r="C18" s="8" t="n">
        <f aca="false">C9</f>
        <v>195</v>
      </c>
      <c r="D18" s="12" t="n">
        <f aca="false">IFERROR(D9/$C9,0)</f>
        <v>96.3360512820513</v>
      </c>
      <c r="E18" s="12" t="n">
        <f aca="false">IFERROR(E9/$C9,0)</f>
        <v>66.5346153846154</v>
      </c>
      <c r="F18" s="12" t="n">
        <f aca="false">IFERROR(F9/$C9,0)</f>
        <v>60</v>
      </c>
      <c r="G18" s="12" t="n">
        <f aca="false">IFERROR(G9/$C9,0)</f>
        <v>77.3911794871795</v>
      </c>
      <c r="H18" s="12" t="n">
        <f aca="false">IFERROR(H9/$C9,0)</f>
        <v>22.9564102564103</v>
      </c>
      <c r="I18" s="12" t="n">
        <f aca="false">IFERROR(I9/$C9,0)</f>
        <v>323.218256410256</v>
      </c>
    </row>
    <row r="21" customFormat="false" ht="15" hidden="false" customHeight="false" outlineLevel="0" collapsed="false">
      <c r="A21" s="13" t="s">
        <v>19</v>
      </c>
    </row>
    <row r="22" customFormat="false" ht="15" hidden="false" customHeight="false" outlineLevel="0" collapsed="false">
      <c r="A22" s="13" t="s">
        <v>20</v>
      </c>
    </row>
    <row r="23" customFormat="false" ht="15" hidden="false" customHeight="false" outlineLevel="0" collapsed="false">
      <c r="A23" s="13" t="s">
        <v>21</v>
      </c>
    </row>
    <row r="24" customFormat="false" ht="15" hidden="false" customHeight="false" outlineLevel="0" collapsed="false">
      <c r="A24" s="1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2026-10-29T13:01:15Z</dcterms:created>
  <dc:creator>openpyxl</dc:creator>
  <dc:description/>
  <dc:language>en-US</dc:language>
  <cp:lastModifiedBy/>
  <dcterms:modified xsi:type="dcterms:W3CDTF">2026-10-29T13:01:15Z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