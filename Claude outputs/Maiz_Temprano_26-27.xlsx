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íz Tempran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<sst xmlns="http://schemas.openxmlformats.org/spreadsheetml/2006/main" count="29" uniqueCount="21">
  <si>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Maíz Temprano — Campaña 26-27 (USD)</t>
  </si>
  <si>
    <t xml:space="preserve">Lote</t>
  </si>
  <si>
    <t xml:space="preserve">HA</t>
  </si>
  <si>
    <t xml:space="preserve">Semilla</t>
  </si>
  <si>
    <t xml:space="preserve">Fertilizante</t>
  </si>
  <si>
    <t xml:space="preserve">Servicio Siembra</t>
  </si>
  <si>
    <t xml:space="preserve">Fitosanitario</t>
  </si>
  <si>
    <t xml:space="preserve">Servicio Pulverizada</t>
  </si>
  <si>
    <t xml:space="preserve">Total</t>
  </si>
  <si>
    <t xml:space="preserve">11 A Molino</t>
  </si>
  <si>
    <t xml:space="preserve">11 C</t>
  </si>
  <si>
    <t xml:space="preserve">EV 2</t>
  </si>
  <si>
    <t xml:space="preserve">EV 4</t>
  </si>
  <si>
    <t xml:space="preserve">EV 6</t>
  </si>
  <si>
    <t xml:space="preserve">EV Detrás Cordillera</t>
  </si>
  <si>
    <t xml:space="preserve">TOTAL</t>
  </si>
  <si>
    <t xml:space="preserve">USD por hectárea</t>
  </si>
  <si>
    <t xml:space="preserve">Fuente: datos cargados en Trazagro (seguimiento agronómico), campaña 26-27, cultivo Maíz Temprano. Montos en USD totales por lote; HA = superficie sembrada.</t>
  </si>
  <si>
    <t xml:space="preserve">Semilla: costo de semilla de la siembra. Fertilizante: fertilizante aplicado en la siembra (todos los fertilizantes cargados en esa siembra).</t>
  </si>
  <si>
    <t xml:space="preserve">Servicio Siembra: costo del servicio de siembra. Fitosanitario: productos agroquímicos de las aplicaciones (barbecho y pre-emergente).</t>
  </si>
  <si>
    <t xml:space="preserve">Servicio Pulverizada: servicio de aplicación (barbecho y pre-emergente). Cargado hasta el 14/10/2026; no incluye labores posteriores todavía no registradas.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</si>
</sst>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DC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customFormat="false" ht="15" hidden="false" customHeight="false" outlineLevel="0" collapsed="false">
      <c r="A4" s="5" t="s">
        <v>9</v>
      </c>
      <c r="B4" s="6" t="n">
        <v>8</v>
      </c>
      <c r="C4" s="6" t="n">
        <v>993</v>
      </c>
      <c r="D4" s="6" t="n">
        <v>819</v>
      </c>
      <c r="E4" s="6" t="n">
        <v>480</v>
      </c>
      <c r="F4" s="6" t="n">
        <v>564.05</v>
      </c>
      <c r="G4" s="6" t="n">
        <v>108</v>
      </c>
      <c r="H4" s="7" t="n">
        <f aca="false">SUM(C4:G4)</f>
        <v>2964.05</v>
      </c>
    </row>
    <row r="5" customFormat="false" ht="15" hidden="false" customHeight="false" outlineLevel="0" collapsed="false">
      <c r="A5" s="5" t="s">
        <v>10</v>
      </c>
      <c r="B5" s="6" t="n">
        <v>53</v>
      </c>
      <c r="C5" s="6" t="n">
        <v>6423</v>
      </c>
      <c r="D5" s="6" t="n">
        <v>5425.88</v>
      </c>
      <c r="E5" s="6" t="n">
        <v>2279</v>
      </c>
      <c r="F5" s="6" t="n">
        <v>3369.86</v>
      </c>
      <c r="G5" s="6" t="n">
        <v>689</v>
      </c>
      <c r="H5" s="7" t="n">
        <f aca="false">SUM(C5:G5)</f>
        <v>18186.74</v>
      </c>
    </row>
    <row r="6" customFormat="false" ht="15" hidden="false" customHeight="false" outlineLevel="0" collapsed="false">
      <c r="A6" s="5" t="s">
        <v>11</v>
      </c>
      <c r="B6" s="6" t="n">
        <v>16</v>
      </c>
      <c r="C6" s="6" t="n">
        <v>2040</v>
      </c>
      <c r="D6" s="6" t="n">
        <v>1640.96</v>
      </c>
      <c r="E6" s="6" t="n">
        <v>960</v>
      </c>
      <c r="F6" s="6" t="n">
        <v>1312.63</v>
      </c>
      <c r="G6" s="6" t="n">
        <v>295.5</v>
      </c>
      <c r="H6" s="7" t="n">
        <f aca="false">SUM(C6:G6)</f>
        <v>6249.09</v>
      </c>
    </row>
    <row r="7" customFormat="false" ht="15" hidden="false" customHeight="false" outlineLevel="0" collapsed="false">
      <c r="A7" s="5" t="s">
        <v>12</v>
      </c>
      <c r="B7" s="6" t="n">
        <v>29</v>
      </c>
      <c r="C7" s="6" t="n">
        <v>3697.5</v>
      </c>
      <c r="D7" s="6" t="n">
        <v>2958</v>
      </c>
      <c r="E7" s="6" t="n">
        <v>1740</v>
      </c>
      <c r="F7" s="6" t="n">
        <v>2426.02</v>
      </c>
      <c r="G7" s="6" t="n">
        <v>536.08</v>
      </c>
      <c r="H7" s="7" t="n">
        <f aca="false">SUM(C7:G7)</f>
        <v>11357.6</v>
      </c>
    </row>
    <row r="8" customFormat="false" ht="15" hidden="false" customHeight="false" outlineLevel="0" collapsed="false">
      <c r="A8" s="5" t="s">
        <v>13</v>
      </c>
      <c r="B8" s="6" t="n">
        <v>22</v>
      </c>
      <c r="C8" s="6" t="n">
        <v>2628</v>
      </c>
      <c r="D8" s="6" t="n">
        <v>2251.7</v>
      </c>
      <c r="E8" s="6" t="n">
        <v>1320</v>
      </c>
      <c r="F8" s="6" t="n">
        <v>1864.46</v>
      </c>
      <c r="G8" s="6" t="n">
        <v>407.58</v>
      </c>
      <c r="H8" s="7" t="n">
        <f aca="false">SUM(C8:G8)</f>
        <v>8471.74</v>
      </c>
    </row>
    <row r="9" customFormat="false" ht="15" hidden="false" customHeight="false" outlineLevel="0" collapsed="false">
      <c r="A9" s="5" t="s">
        <v>14</v>
      </c>
      <c r="B9" s="6" t="n">
        <v>21</v>
      </c>
      <c r="C9" s="6" t="n">
        <v>2583</v>
      </c>
      <c r="D9" s="6" t="n">
        <v>2149.35</v>
      </c>
      <c r="E9" s="6" t="n">
        <v>1260</v>
      </c>
      <c r="F9" s="6" t="n">
        <v>2212.97</v>
      </c>
      <c r="G9" s="6" t="n">
        <v>535.7</v>
      </c>
      <c r="H9" s="7" t="n">
        <f aca="false">SUM(C9:G9)</f>
        <v>8741.02</v>
      </c>
    </row>
    <row r="10" customFormat="false" ht="15" hidden="false" customHeight="false" outlineLevel="0" collapsed="false">
      <c r="A10" s="8" t="s">
        <v>15</v>
      </c>
      <c r="B10" s="9" t="n">
        <f aca="false">SUM(B4:B9)</f>
        <v>149</v>
      </c>
      <c r="C10" s="9" t="n">
        <f aca="false">SUM(C4:C9)</f>
        <v>18364.5</v>
      </c>
      <c r="D10" s="9" t="n">
        <f aca="false">SUM(D4:D9)</f>
        <v>15244.89</v>
      </c>
      <c r="E10" s="9" t="n">
        <f aca="false">SUM(E4:E9)</f>
        <v>8039</v>
      </c>
      <c r="F10" s="9" t="n">
        <f aca="false">SUM(F4:F9)</f>
        <v>11749.99</v>
      </c>
      <c r="G10" s="9" t="n">
        <f aca="false">SUM(G4:G9)</f>
        <v>2571.86</v>
      </c>
      <c r="H10" s="9" t="n">
        <f aca="false">SUM(H4:H9)</f>
        <v>55970.24</v>
      </c>
    </row>
    <row r="11" customFormat="false" ht="15" hidden="false" customHeight="false" outlineLevel="0" collapsed="false">
      <c r="B11" s="10"/>
      <c r="C11" s="10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11" t="s">
        <v>16</v>
      </c>
      <c r="B12" s="10"/>
      <c r="C12" s="10"/>
      <c r="D12" s="10"/>
      <c r="E12" s="10"/>
      <c r="F12" s="10"/>
      <c r="G12" s="10"/>
      <c r="H12" s="10"/>
    </row>
    <row r="13" customFormat="false" ht="30" hidden="false" customHeight="true" outlineLevel="0" collapsed="false">
      <c r="A13" s="3" t="s">
        <v>1</v>
      </c>
      <c r="B13" s="12" t="s">
        <v>2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</row>
    <row r="14" customFormat="false" ht="15" hidden="false" customHeight="false" outlineLevel="0" collapsed="false">
      <c r="A14" s="5" t="str">
        <f aca="false">A4</f>
        <v>11 A Molino</v>
      </c>
      <c r="B14" s="6" t="n">
        <f aca="false">B4</f>
        <v>8</v>
      </c>
      <c r="C14" s="13" t="n">
        <f aca="false">IFERROR(C4/$B4,0)</f>
        <v>124.125</v>
      </c>
      <c r="D14" s="13" t="n">
        <f aca="false">IFERROR(D4/$B4,0)</f>
        <v>102.375</v>
      </c>
      <c r="E14" s="13" t="n">
        <f aca="false">IFERROR(E4/$B4,0)</f>
        <v>60</v>
      </c>
      <c r="F14" s="13" t="n">
        <f aca="false">IFERROR(F4/$B4,0)</f>
        <v>70.50625</v>
      </c>
      <c r="G14" s="13" t="n">
        <f aca="false">IFERROR(G4/$B4,0)</f>
        <v>13.5</v>
      </c>
      <c r="H14" s="13" t="n">
        <f aca="false">IFERROR(H4/$B4,0)</f>
        <v>370.50625</v>
      </c>
    </row>
    <row r="15" customFormat="false" ht="15" hidden="false" customHeight="false" outlineLevel="0" collapsed="false">
      <c r="A15" s="5" t="str">
        <f aca="false">A5</f>
        <v>11 C</v>
      </c>
      <c r="B15" s="6" t="n">
        <f aca="false">B5</f>
        <v>53</v>
      </c>
      <c r="C15" s="13" t="n">
        <f aca="false">IFERROR(C5/$B5,0)</f>
        <v>121.188679245283</v>
      </c>
      <c r="D15" s="13" t="n">
        <f aca="false">IFERROR(D5/$B5,0)</f>
        <v>102.375094339623</v>
      </c>
      <c r="E15" s="13" t="n">
        <f aca="false">IFERROR(E5/$B5,0)</f>
        <v>43</v>
      </c>
      <c r="F15" s="13" t="n">
        <f aca="false">IFERROR(F5/$B5,0)</f>
        <v>63.5822641509434</v>
      </c>
      <c r="G15" s="13" t="n">
        <f aca="false">IFERROR(G5/$B5,0)</f>
        <v>13</v>
      </c>
      <c r="H15" s="13" t="n">
        <f aca="false">IFERROR(H5/$B5,0)</f>
        <v>343.146037735849</v>
      </c>
    </row>
    <row r="16" customFormat="false" ht="15" hidden="false" customHeight="false" outlineLevel="0" collapsed="false">
      <c r="A16" s="5" t="str">
        <f aca="false">A6</f>
        <v>EV 2</v>
      </c>
      <c r="B16" s="6" t="n">
        <f aca="false">B6</f>
        <v>16</v>
      </c>
      <c r="C16" s="13" t="n">
        <f aca="false">IFERROR(C6/$B6,0)</f>
        <v>127.5</v>
      </c>
      <c r="D16" s="13" t="n">
        <f aca="false">IFERROR(D6/$B6,0)</f>
        <v>102.56</v>
      </c>
      <c r="E16" s="13" t="n">
        <f aca="false">IFERROR(E6/$B6,0)</f>
        <v>60</v>
      </c>
      <c r="F16" s="13" t="n">
        <f aca="false">IFERROR(F6/$B6,0)</f>
        <v>82.039375</v>
      </c>
      <c r="G16" s="13" t="n">
        <f aca="false">IFERROR(G6/$B6,0)</f>
        <v>18.46875</v>
      </c>
      <c r="H16" s="13" t="n">
        <f aca="false">IFERROR(H6/$B6,0)</f>
        <v>390.568125</v>
      </c>
    </row>
    <row r="17" customFormat="false" ht="15" hidden="false" customHeight="false" outlineLevel="0" collapsed="false">
      <c r="A17" s="5" t="str">
        <f aca="false">A7</f>
        <v>EV 4</v>
      </c>
      <c r="B17" s="6" t="n">
        <f aca="false">B7</f>
        <v>29</v>
      </c>
      <c r="C17" s="13" t="n">
        <f aca="false">IFERROR(C7/$B7,0)</f>
        <v>127.5</v>
      </c>
      <c r="D17" s="13" t="n">
        <f aca="false">IFERROR(D7/$B7,0)</f>
        <v>102</v>
      </c>
      <c r="E17" s="13" t="n">
        <f aca="false">IFERROR(E7/$B7,0)</f>
        <v>60</v>
      </c>
      <c r="F17" s="13" t="n">
        <f aca="false">IFERROR(F7/$B7,0)</f>
        <v>83.6558620689655</v>
      </c>
      <c r="G17" s="13" t="n">
        <f aca="false">IFERROR(G7/$B7,0)</f>
        <v>18.4855172413793</v>
      </c>
      <c r="H17" s="13" t="n">
        <f aca="false">IFERROR(H7/$B7,0)</f>
        <v>391.641379310345</v>
      </c>
    </row>
    <row r="18" customFormat="false" ht="15" hidden="false" customHeight="false" outlineLevel="0" collapsed="false">
      <c r="A18" s="5" t="str">
        <f aca="false">A8</f>
        <v>EV 6</v>
      </c>
      <c r="B18" s="6" t="n">
        <f aca="false">B8</f>
        <v>22</v>
      </c>
      <c r="C18" s="13" t="n">
        <f aca="false">IFERROR(C8/$B8,0)</f>
        <v>119.454545454545</v>
      </c>
      <c r="D18" s="13" t="n">
        <f aca="false">IFERROR(D8/$B8,0)</f>
        <v>102.35</v>
      </c>
      <c r="E18" s="13" t="n">
        <f aca="false">IFERROR(E8/$B8,0)</f>
        <v>60</v>
      </c>
      <c r="F18" s="13" t="n">
        <f aca="false">IFERROR(F8/$B8,0)</f>
        <v>84.7481818181818</v>
      </c>
      <c r="G18" s="13" t="n">
        <f aca="false">IFERROR(G8/$B8,0)</f>
        <v>18.5263636363636</v>
      </c>
      <c r="H18" s="13" t="n">
        <f aca="false">IFERROR(H8/$B8,0)</f>
        <v>385.079090909091</v>
      </c>
    </row>
    <row r="19" customFormat="false" ht="15" hidden="false" customHeight="false" outlineLevel="0" collapsed="false">
      <c r="A19" s="5" t="str">
        <f aca="false">A9</f>
        <v>EV Detrás Cordillera</v>
      </c>
      <c r="B19" s="6" t="n">
        <f aca="false">B9</f>
        <v>21</v>
      </c>
      <c r="C19" s="13" t="n">
        <f aca="false">IFERROR(C9/$B9,0)</f>
        <v>123</v>
      </c>
      <c r="D19" s="13" t="n">
        <f aca="false">IFERROR(D9/$B9,0)</f>
        <v>102.35</v>
      </c>
      <c r="E19" s="13" t="n">
        <f aca="false">IFERROR(E9/$B9,0)</f>
        <v>60</v>
      </c>
      <c r="F19" s="13" t="n">
        <f aca="false">IFERROR(F9/$B9,0)</f>
        <v>105.379523809524</v>
      </c>
      <c r="G19" s="13" t="n">
        <f aca="false">IFERROR(G9/$B9,0)</f>
        <v>25.5095238095238</v>
      </c>
      <c r="H19" s="13" t="n">
        <f aca="false">IFERROR(H9/$B9,0)</f>
        <v>416.239047619048</v>
      </c>
    </row>
    <row r="20" customFormat="false" ht="15" hidden="false" customHeight="false" outlineLevel="0" collapsed="false">
      <c r="A20" s="8" t="str">
        <f aca="false">A10</f>
        <v>TOTAL</v>
      </c>
      <c r="B20" s="9" t="n">
        <f aca="false">B10</f>
        <v>149</v>
      </c>
      <c r="C20" s="14" t="n">
        <f aca="false">IFERROR(C10/$B10,0)</f>
        <v>123.251677852349</v>
      </c>
      <c r="D20" s="14" t="n">
        <f aca="false">IFERROR(D10/$B10,0)</f>
        <v>102.314697986577</v>
      </c>
      <c r="E20" s="14" t="n">
        <f aca="false">IFERROR(E10/$B10,0)</f>
        <v>53.9530201342282</v>
      </c>
      <c r="F20" s="14" t="n">
        <f aca="false">IFERROR(F10/$B10,0)</f>
        <v>78.8589932885906</v>
      </c>
      <c r="G20" s="14" t="n">
        <f aca="false">IFERROR(G10/$B10,0)</f>
        <v>17.2608053691275</v>
      </c>
      <c r="H20" s="14" t="n">
        <f aca="false">IFERROR(H10/$B10,0)</f>
        <v>375.639194630873</v>
      </c>
    </row>
    <row r="23" customFormat="false" ht="15" hidden="false" customHeight="false" outlineLevel="0" collapsed="false">
      <c r="A23" s="15" t="s">
        <v>17</v>
      </c>
    </row>
    <row r="24" customFormat="false" ht="15" hidden="false" customHeight="false" outlineLevel="0" collapsed="false">
      <c r="A24" s="15" t="s">
        <v>18</v>
      </c>
    </row>
    <row r="25" customFormat="false" ht="15" hidden="false" customHeight="false" outlineLevel="0" collapsed="false">
      <c r="A25" s="15" t="s">
        <v>19</v>
      </c>
    </row>
    <row r="26" customFormat="false" ht="15" hidden="false" customHeight="false" outlineLevel="0" collapsed="false">
      <c r="A26" s="1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2026-10-29T12:43:24Z</dcterms:created>
  <dc:creator>openpyxl</dc:creator>
  <dc:description/>
  <dc:language>en-US</dc:language>
  <cp:lastModifiedBy/>
  <dcterms:modified xsi:type="dcterms:W3CDTF">2026-10-29T12:43:24Z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